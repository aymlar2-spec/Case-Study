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youbaitatman/Desktop/"/>
    </mc:Choice>
  </mc:AlternateContent>
  <xr:revisionPtr revIDLastSave="0" documentId="8_{6B082295-2BCE-9C40-ADB4-904C388CA465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Donnees_ecoles" sheetId="1" r:id="rId1"/>
    <sheet name="Lisez-moi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26" i="1" l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3" i="1"/>
  <c r="S3" i="1"/>
  <c r="T2" i="1"/>
  <c r="S2" i="1"/>
</calcChain>
</file>

<file path=xl/sharedStrings.xml><?xml version="1.0" encoding="utf-8"?>
<sst xmlns="http://schemas.openxmlformats.org/spreadsheetml/2006/main" count="277" uniqueCount="100">
  <si>
    <t>Code école</t>
  </si>
  <si>
    <t>Nom école (fictif)</t>
  </si>
  <si>
    <t>Province</t>
  </si>
  <si>
    <t>Type (EP/CP)</t>
  </si>
  <si>
    <t>Milieu</t>
  </si>
  <si>
    <t>Effectif élèves</t>
  </si>
  <si>
    <t>Nb élèves éligibles au soutien (Post-TARL)</t>
  </si>
  <si>
    <t>Taux de maîtrise Post-TARL (%)</t>
  </si>
  <si>
    <t>Nb élèves bénéficiant actuellement du soutien</t>
  </si>
  <si>
    <t>Nb créneaux/salles disponibles pour le soutien (/semaine)</t>
  </si>
  <si>
    <t>Effectif enseignants</t>
  </si>
  <si>
    <t>Nb enseignants mobilisés pour le soutien</t>
  </si>
  <si>
    <t>Soutien étalé réalisé l'année précédente</t>
  </si>
  <si>
    <t>Impact observé l'année précédente</t>
  </si>
  <si>
    <t>Taux d'absentéisme élèves aux séances (%)</t>
  </si>
  <si>
    <t>Enclavement de l'école</t>
  </si>
  <si>
    <t>Turnover des enseignants</t>
  </si>
  <si>
    <t>Fiabilité de la saisie Massar</t>
  </si>
  <si>
    <t>Taux de couverture du soutien (%)</t>
  </si>
  <si>
    <t>Taux de mobilisation des enseignants (%)</t>
  </si>
  <si>
    <t>CP-001</t>
  </si>
  <si>
    <t>CP Al Amal</t>
  </si>
  <si>
    <t>CP</t>
  </si>
  <si>
    <t>Rural</t>
  </si>
  <si>
    <t>Non</t>
  </si>
  <si>
    <t>N/A</t>
  </si>
  <si>
    <t>Faible</t>
  </si>
  <si>
    <t>Moyenne</t>
  </si>
  <si>
    <t>CP-002</t>
  </si>
  <si>
    <t>CP Ibn Sina</t>
  </si>
  <si>
    <t>Oui</t>
  </si>
  <si>
    <t>Impact non mesuré</t>
  </si>
  <si>
    <t>Élevé</t>
  </si>
  <si>
    <t>CP-003</t>
  </si>
  <si>
    <t>CP Ibn Khaldoun</t>
  </si>
  <si>
    <t>Urbain</t>
  </si>
  <si>
    <t>Moyen</t>
  </si>
  <si>
    <t>EP-004</t>
  </si>
  <si>
    <t>EP Al Massira</t>
  </si>
  <si>
    <t>EP</t>
  </si>
  <si>
    <t>EP-005</t>
  </si>
  <si>
    <t>EP Al Wahda</t>
  </si>
  <si>
    <t>EP-006</t>
  </si>
  <si>
    <t>EP Errazi</t>
  </si>
  <si>
    <t>Aucune amélioration observée</t>
  </si>
  <si>
    <t>CP-007</t>
  </si>
  <si>
    <t>CP Annakhil</t>
  </si>
  <si>
    <t>Amélioration notable</t>
  </si>
  <si>
    <t>CP-008</t>
  </si>
  <si>
    <t>CP Al Fath</t>
  </si>
  <si>
    <t>CP-009</t>
  </si>
  <si>
    <t>CP Ibn Batouta</t>
  </si>
  <si>
    <t>EP-010</t>
  </si>
  <si>
    <t>EP Al Manar</t>
  </si>
  <si>
    <t>Élevée</t>
  </si>
  <si>
    <t>CP-011</t>
  </si>
  <si>
    <t>CP Assalam</t>
  </si>
  <si>
    <t>CP-012</t>
  </si>
  <si>
    <t>CP Al Bassatine</t>
  </si>
  <si>
    <t>EP-013</t>
  </si>
  <si>
    <t>EP Al Ouahda</t>
  </si>
  <si>
    <t>CP-014</t>
  </si>
  <si>
    <t>CP Ibn Rochd</t>
  </si>
  <si>
    <t>CP-015</t>
  </si>
  <si>
    <t>CP Al Adarissa</t>
  </si>
  <si>
    <t>CP-016</t>
  </si>
  <si>
    <t>CP Chouhada</t>
  </si>
  <si>
    <t>CP-017</t>
  </si>
  <si>
    <t>CP Al Qods</t>
  </si>
  <si>
    <t>EP-018</t>
  </si>
  <si>
    <t>EP Al Ghazali</t>
  </si>
  <si>
    <t>CP-019</t>
  </si>
  <si>
    <t>CP Ibn Zaydoun</t>
  </si>
  <si>
    <t>EP-020</t>
  </si>
  <si>
    <t>EP Al Karam</t>
  </si>
  <si>
    <t>EP-021</t>
  </si>
  <si>
    <t>EP Ennour</t>
  </si>
  <si>
    <t>EP-022</t>
  </si>
  <si>
    <t>EP Al Massar</t>
  </si>
  <si>
    <t>EP-023</t>
  </si>
  <si>
    <t>EP Ibn Toumert</t>
  </si>
  <si>
    <t>EP-024</t>
  </si>
  <si>
    <t>EP Errahma</t>
  </si>
  <si>
    <t>Amélioration limitée</t>
  </si>
  <si>
    <t>CP-025</t>
  </si>
  <si>
    <t>CP Al Andalous</t>
  </si>
  <si>
    <t>Ce jeu de données est fictif et généré à des fins pédagogiques. Il simule 25 écoles/collèges pionniers d'une province,</t>
  </si>
  <si>
    <t>avec des indicateurs pertinents pour évaluer la situation du soutien étalé.</t>
  </si>
  <si>
    <t>Les colonnes « Taux de couverture du soutien » et « Taux de mobilisation des enseignants » sont calculées automatiquement.</t>
  </si>
  <si>
    <t>Toutes les autres colonnes sont des données d'entrée (à considérer comme telles).</t>
  </si>
  <si>
    <t>Objectif : à partir de ces données, construire un système de scoring permettant de classer les écoles</t>
  </si>
  <si>
    <t>par niveau de priorité d'action pour le soutien étalé (voir le document de cadrage de l'étude de cas).</t>
  </si>
  <si>
    <t xml:space="preserve">Jeu de données fictif : Écoles pionnières / collèges pionniers </t>
  </si>
  <si>
    <t>Hakimi</t>
  </si>
  <si>
    <t>Hadiya</t>
  </si>
  <si>
    <t>MADRASSA</t>
  </si>
  <si>
    <t>HAKIMI</t>
  </si>
  <si>
    <t>OUSSTAD</t>
  </si>
  <si>
    <t>TILMID</t>
  </si>
  <si>
    <t>MOUDIR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</si>
</sst>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9" fontId="3" fillId="0" borderId="1" xfId="0" applyNumberFormat="1" applyFont="1" applyBorder="1"/>
    <xf numFmtId="0" fontId="4" fillId="0" borderId="0" xfId="0" applyFont="1"/>
    <xf numFmtId="0" fontId="3" fillId="0" borderId="0" xfId="0" applyFont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topLeftCell="H1" zoomScaleNormal="100" workbookViewId="0">
      <pane ySplit="1" topLeftCell="A2" activePane="bottomLeft" state="frozen"/>
      <selection pane="bottomLeft" activeCell="C12" sqref="C12"/>
    </sheetView>
  </sheetViews>
  <sheetFormatPr baseColWidth="10" defaultColWidth="8.6640625" defaultRowHeight="15" x14ac:dyDescent="0.2"/>
  <cols>
    <col min="1" max="1" width="10" customWidth="1"/>
    <col min="2" max="2" width="16" customWidth="1"/>
    <col min="3" max="3" width="18" customWidth="1"/>
    <col min="4" max="4" width="12" customWidth="1"/>
    <col min="5" max="6" width="10" customWidth="1"/>
    <col min="7" max="7" width="20" customWidth="1"/>
    <col min="8" max="8" width="16" customWidth="1"/>
    <col min="9" max="9" width="20" customWidth="1"/>
    <col min="10" max="10" width="18" customWidth="1"/>
    <col min="11" max="11" width="14" customWidth="1"/>
    <col min="12" max="13" width="18" customWidth="1"/>
    <col min="14" max="14" width="20" customWidth="1"/>
    <col min="15" max="15" width="18" customWidth="1"/>
    <col min="16" max="18" width="14" customWidth="1"/>
    <col min="19" max="19" width="16" customWidth="1"/>
    <col min="20" max="20" width="18" customWidth="1"/>
  </cols>
  <sheetData>
    <row r="1" spans="1:2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 t="s">
        <v>21</v>
      </c>
      <c r="C2" s="6" t="s">
        <v>93</v>
      </c>
      <c r="D2" s="2" t="s">
        <v>22</v>
      </c>
      <c r="E2" s="2" t="s">
        <v>23</v>
      </c>
      <c r="F2" s="2">
        <v>375</v>
      </c>
      <c r="G2" s="2">
        <v>161</v>
      </c>
      <c r="H2" s="2">
        <v>28.9</v>
      </c>
      <c r="I2" s="2">
        <v>98</v>
      </c>
      <c r="J2" s="2">
        <v>0</v>
      </c>
      <c r="K2" s="2">
        <v>17</v>
      </c>
      <c r="L2" s="2">
        <v>7</v>
      </c>
      <c r="M2" s="2" t="s">
        <v>24</v>
      </c>
      <c r="N2" s="2" t="s">
        <v>25</v>
      </c>
      <c r="O2" s="2">
        <v>3</v>
      </c>
      <c r="P2" s="2" t="s">
        <v>26</v>
      </c>
      <c r="Q2" s="2" t="s">
        <v>26</v>
      </c>
      <c r="R2" s="2" t="s">
        <v>27</v>
      </c>
      <c r="S2" s="3">
        <f t="shared" ref="S2:S26" si="0">IF(G2=0,0,I2/G2)</f>
        <v>0.60869565217391308</v>
      </c>
      <c r="T2" s="3">
        <f t="shared" ref="T2:T26" si="1">IF(K2=0,0,L2/K2)</f>
        <v>0.41176470588235292</v>
      </c>
    </row>
    <row r="3" spans="1:20" x14ac:dyDescent="0.2">
      <c r="A3" s="2" t="s">
        <v>28</v>
      </c>
      <c r="B3" s="2" t="s">
        <v>29</v>
      </c>
      <c r="C3" s="2" t="s">
        <v>94</v>
      </c>
      <c r="D3" s="2" t="s">
        <v>22</v>
      </c>
      <c r="E3" s="2" t="s">
        <v>23</v>
      </c>
      <c r="F3" s="2">
        <v>362</v>
      </c>
      <c r="G3" s="2">
        <v>108</v>
      </c>
      <c r="H3" s="2">
        <v>38</v>
      </c>
      <c r="I3" s="2">
        <v>64</v>
      </c>
      <c r="J3" s="2">
        <v>5</v>
      </c>
      <c r="K3" s="2">
        <v>16</v>
      </c>
      <c r="L3" s="2">
        <v>8</v>
      </c>
      <c r="M3" s="2" t="s">
        <v>30</v>
      </c>
      <c r="N3" s="2" t="s">
        <v>31</v>
      </c>
      <c r="O3" s="2">
        <v>7.1</v>
      </c>
      <c r="P3" s="2" t="s">
        <v>32</v>
      </c>
      <c r="Q3" s="2" t="s">
        <v>26</v>
      </c>
      <c r="R3" s="2" t="s">
        <v>26</v>
      </c>
      <c r="S3" s="3">
        <f t="shared" si="0"/>
        <v>0.59259259259259256</v>
      </c>
      <c r="T3" s="3">
        <f t="shared" si="1"/>
        <v>0.5</v>
      </c>
    </row>
    <row r="4" spans="1:20" x14ac:dyDescent="0.2">
      <c r="A4" s="2" t="s">
        <v>33</v>
      </c>
      <c r="B4" s="2" t="s">
        <v>34</v>
      </c>
      <c r="C4" s="2" t="s">
        <v>95</v>
      </c>
      <c r="D4" s="2" t="s">
        <v>22</v>
      </c>
      <c r="E4" s="2" t="s">
        <v>35</v>
      </c>
      <c r="F4" s="2">
        <v>663</v>
      </c>
      <c r="G4" s="2">
        <v>218</v>
      </c>
      <c r="H4" s="2">
        <v>36.700000000000003</v>
      </c>
      <c r="I4" s="2">
        <v>60</v>
      </c>
      <c r="J4" s="2">
        <v>0</v>
      </c>
      <c r="K4" s="2">
        <v>30</v>
      </c>
      <c r="L4" s="2">
        <v>5</v>
      </c>
      <c r="M4" s="2" t="s">
        <v>24</v>
      </c>
      <c r="N4" s="2" t="s">
        <v>25</v>
      </c>
      <c r="O4" s="2">
        <v>29.4</v>
      </c>
      <c r="P4" s="2" t="s">
        <v>36</v>
      </c>
      <c r="Q4" s="2" t="s">
        <v>32</v>
      </c>
      <c r="R4" s="2" t="s">
        <v>27</v>
      </c>
      <c r="S4" s="3">
        <f t="shared" si="0"/>
        <v>0.27522935779816515</v>
      </c>
      <c r="T4" s="3">
        <f t="shared" si="1"/>
        <v>0.16666666666666666</v>
      </c>
    </row>
    <row r="5" spans="1:20" x14ac:dyDescent="0.2">
      <c r="A5" s="2" t="s">
        <v>37</v>
      </c>
      <c r="B5" s="2" t="s">
        <v>38</v>
      </c>
      <c r="C5" s="2" t="s">
        <v>96</v>
      </c>
      <c r="D5" s="2" t="s">
        <v>39</v>
      </c>
      <c r="E5" s="2" t="s">
        <v>23</v>
      </c>
      <c r="F5" s="2">
        <v>328</v>
      </c>
      <c r="G5" s="2">
        <v>45</v>
      </c>
      <c r="H5" s="2">
        <v>59.4</v>
      </c>
      <c r="I5" s="2">
        <v>45</v>
      </c>
      <c r="J5" s="2">
        <v>2</v>
      </c>
      <c r="K5" s="2">
        <v>14</v>
      </c>
      <c r="L5" s="2">
        <v>7</v>
      </c>
      <c r="M5" s="2" t="s">
        <v>30</v>
      </c>
      <c r="N5" s="2" t="s">
        <v>31</v>
      </c>
      <c r="O5" s="2">
        <v>7.4</v>
      </c>
      <c r="P5" s="2" t="s">
        <v>36</v>
      </c>
      <c r="Q5" s="2" t="s">
        <v>36</v>
      </c>
      <c r="R5" s="2" t="s">
        <v>27</v>
      </c>
      <c r="S5" s="3">
        <f t="shared" si="0"/>
        <v>1</v>
      </c>
      <c r="T5" s="3">
        <f t="shared" si="1"/>
        <v>0.5</v>
      </c>
    </row>
    <row r="6" spans="1:20" x14ac:dyDescent="0.2">
      <c r="A6" s="2" t="s">
        <v>40</v>
      </c>
      <c r="B6" s="2" t="s">
        <v>41</v>
      </c>
      <c r="C6" s="2" t="s">
        <v>96</v>
      </c>
      <c r="D6" s="2" t="s">
        <v>39</v>
      </c>
      <c r="E6" s="2" t="s">
        <v>23</v>
      </c>
      <c r="F6" s="2">
        <v>453</v>
      </c>
      <c r="G6" s="2">
        <v>77</v>
      </c>
      <c r="H6" s="2">
        <v>49.2</v>
      </c>
      <c r="I6" s="2">
        <v>70</v>
      </c>
      <c r="J6" s="2">
        <v>1</v>
      </c>
      <c r="K6" s="2">
        <v>20</v>
      </c>
      <c r="L6" s="2">
        <v>5</v>
      </c>
      <c r="M6" s="2" t="s">
        <v>24</v>
      </c>
      <c r="N6" s="2" t="s">
        <v>25</v>
      </c>
      <c r="O6" s="2">
        <v>29.8</v>
      </c>
      <c r="P6" s="2" t="s">
        <v>32</v>
      </c>
      <c r="Q6" s="2" t="s">
        <v>26</v>
      </c>
      <c r="R6" s="2" t="s">
        <v>26</v>
      </c>
      <c r="S6" s="3">
        <f t="shared" si="0"/>
        <v>0.90909090909090906</v>
      </c>
      <c r="T6" s="3">
        <f t="shared" si="1"/>
        <v>0.25</v>
      </c>
    </row>
    <row r="7" spans="1:20" x14ac:dyDescent="0.2">
      <c r="A7" s="2" t="s">
        <v>42</v>
      </c>
      <c r="B7" s="2" t="s">
        <v>43</v>
      </c>
      <c r="C7" s="2" t="s">
        <v>95</v>
      </c>
      <c r="D7" s="2" t="s">
        <v>39</v>
      </c>
      <c r="E7" s="2" t="s">
        <v>35</v>
      </c>
      <c r="F7" s="2">
        <v>288</v>
      </c>
      <c r="G7" s="2">
        <v>28</v>
      </c>
      <c r="H7" s="2">
        <v>71.5</v>
      </c>
      <c r="I7" s="2">
        <v>28</v>
      </c>
      <c r="J7" s="2">
        <v>5</v>
      </c>
      <c r="K7" s="2">
        <v>13</v>
      </c>
      <c r="L7" s="2">
        <v>8</v>
      </c>
      <c r="M7" s="2" t="s">
        <v>30</v>
      </c>
      <c r="N7" s="2" t="s">
        <v>44</v>
      </c>
      <c r="O7" s="2">
        <v>6.7</v>
      </c>
      <c r="P7" s="2" t="s">
        <v>26</v>
      </c>
      <c r="Q7" s="2" t="s">
        <v>36</v>
      </c>
      <c r="R7" s="2" t="s">
        <v>27</v>
      </c>
      <c r="S7" s="3">
        <f t="shared" si="0"/>
        <v>1</v>
      </c>
      <c r="T7" s="3">
        <f t="shared" si="1"/>
        <v>0.61538461538461542</v>
      </c>
    </row>
    <row r="8" spans="1:20" x14ac:dyDescent="0.2">
      <c r="A8" s="2" t="s">
        <v>45</v>
      </c>
      <c r="B8" s="2" t="s">
        <v>46</v>
      </c>
      <c r="C8" s="2" t="s">
        <v>97</v>
      </c>
      <c r="D8" s="2" t="s">
        <v>22</v>
      </c>
      <c r="E8" s="2" t="s">
        <v>23</v>
      </c>
      <c r="F8" s="2">
        <v>435</v>
      </c>
      <c r="G8" s="2">
        <v>200</v>
      </c>
      <c r="H8" s="2">
        <v>28.8</v>
      </c>
      <c r="I8" s="2">
        <v>42</v>
      </c>
      <c r="J8" s="2">
        <v>6</v>
      </c>
      <c r="K8" s="2">
        <v>19</v>
      </c>
      <c r="L8" s="2">
        <v>6</v>
      </c>
      <c r="M8" s="2" t="s">
        <v>30</v>
      </c>
      <c r="N8" s="2" t="s">
        <v>47</v>
      </c>
      <c r="O8" s="2">
        <v>7</v>
      </c>
      <c r="P8" s="2" t="s">
        <v>36</v>
      </c>
      <c r="Q8" s="2" t="s">
        <v>36</v>
      </c>
      <c r="R8" s="2" t="s">
        <v>27</v>
      </c>
      <c r="S8" s="3">
        <f t="shared" si="0"/>
        <v>0.21</v>
      </c>
      <c r="T8" s="3">
        <f t="shared" si="1"/>
        <v>0.31578947368421051</v>
      </c>
    </row>
    <row r="9" spans="1:20" x14ac:dyDescent="0.2">
      <c r="A9" s="2" t="s">
        <v>48</v>
      </c>
      <c r="B9" s="2" t="s">
        <v>49</v>
      </c>
      <c r="C9" s="2" t="s">
        <v>98</v>
      </c>
      <c r="D9" s="2" t="s">
        <v>22</v>
      </c>
      <c r="E9" s="2" t="s">
        <v>35</v>
      </c>
      <c r="F9" s="2">
        <v>520</v>
      </c>
      <c r="G9" s="2">
        <v>130</v>
      </c>
      <c r="H9" s="2">
        <v>45.1</v>
      </c>
      <c r="I9" s="2">
        <v>130</v>
      </c>
      <c r="J9" s="2">
        <v>5</v>
      </c>
      <c r="K9" s="2">
        <v>23</v>
      </c>
      <c r="L9" s="2">
        <v>19</v>
      </c>
      <c r="M9" s="2" t="s">
        <v>24</v>
      </c>
      <c r="N9" s="2" t="s">
        <v>25</v>
      </c>
      <c r="O9" s="2">
        <v>26.8</v>
      </c>
      <c r="P9" s="2" t="s">
        <v>36</v>
      </c>
      <c r="Q9" s="2" t="s">
        <v>26</v>
      </c>
      <c r="R9" s="2" t="s">
        <v>26</v>
      </c>
      <c r="S9" s="3">
        <f t="shared" si="0"/>
        <v>1</v>
      </c>
      <c r="T9" s="3">
        <f t="shared" si="1"/>
        <v>0.82608695652173914</v>
      </c>
    </row>
    <row r="10" spans="1:20" x14ac:dyDescent="0.2">
      <c r="A10" s="2" t="s">
        <v>50</v>
      </c>
      <c r="B10" s="2" t="s">
        <v>51</v>
      </c>
      <c r="C10" s="2" t="s">
        <v>96</v>
      </c>
      <c r="D10" s="2" t="s">
        <v>22</v>
      </c>
      <c r="E10" s="2" t="s">
        <v>35</v>
      </c>
      <c r="F10" s="2">
        <v>506</v>
      </c>
      <c r="G10" s="2">
        <v>50</v>
      </c>
      <c r="H10" s="2">
        <v>65.5</v>
      </c>
      <c r="I10" s="2">
        <v>40</v>
      </c>
      <c r="J10" s="2">
        <v>6</v>
      </c>
      <c r="K10" s="2">
        <v>23</v>
      </c>
      <c r="L10" s="2">
        <v>4</v>
      </c>
      <c r="M10" s="2" t="s">
        <v>24</v>
      </c>
      <c r="N10" s="2" t="s">
        <v>25</v>
      </c>
      <c r="O10" s="2">
        <v>22.1</v>
      </c>
      <c r="P10" s="2" t="s">
        <v>26</v>
      </c>
      <c r="Q10" s="2" t="s">
        <v>36</v>
      </c>
      <c r="R10" s="2" t="s">
        <v>27</v>
      </c>
      <c r="S10" s="3">
        <f t="shared" si="0"/>
        <v>0.8</v>
      </c>
      <c r="T10" s="3">
        <f t="shared" si="1"/>
        <v>0.17391304347826086</v>
      </c>
    </row>
    <row r="11" spans="1:20" x14ac:dyDescent="0.2">
      <c r="A11" s="2" t="s">
        <v>52</v>
      </c>
      <c r="B11" s="2" t="s">
        <v>53</v>
      </c>
      <c r="C11" s="2" t="s">
        <v>98</v>
      </c>
      <c r="D11" s="2" t="s">
        <v>39</v>
      </c>
      <c r="E11" s="2" t="s">
        <v>23</v>
      </c>
      <c r="F11" s="2">
        <v>486</v>
      </c>
      <c r="G11" s="2">
        <v>155</v>
      </c>
      <c r="H11" s="2">
        <v>33</v>
      </c>
      <c r="I11" s="2">
        <v>120</v>
      </c>
      <c r="J11" s="2">
        <v>1</v>
      </c>
      <c r="K11" s="2">
        <v>22</v>
      </c>
      <c r="L11" s="2">
        <v>12</v>
      </c>
      <c r="M11" s="2" t="s">
        <v>30</v>
      </c>
      <c r="N11" s="2" t="s">
        <v>47</v>
      </c>
      <c r="O11" s="2">
        <v>4.8</v>
      </c>
      <c r="P11" s="2" t="s">
        <v>36</v>
      </c>
      <c r="Q11" s="2" t="s">
        <v>26</v>
      </c>
      <c r="R11" s="2" t="s">
        <v>54</v>
      </c>
      <c r="S11" s="3">
        <f t="shared" si="0"/>
        <v>0.77419354838709675</v>
      </c>
      <c r="T11" s="3">
        <f t="shared" si="1"/>
        <v>0.54545454545454541</v>
      </c>
    </row>
    <row r="12" spans="1:20" x14ac:dyDescent="0.2">
      <c r="A12" s="2" t="s">
        <v>55</v>
      </c>
      <c r="B12" s="2" t="s">
        <v>56</v>
      </c>
      <c r="C12" s="2" t="s">
        <v>99</v>
      </c>
      <c r="D12" s="2" t="s">
        <v>22</v>
      </c>
      <c r="E12" s="2" t="s">
        <v>23</v>
      </c>
      <c r="F12" s="2">
        <v>531</v>
      </c>
      <c r="G12" s="2">
        <v>233</v>
      </c>
      <c r="H12" s="2">
        <v>26.6</v>
      </c>
      <c r="I12" s="2">
        <v>81</v>
      </c>
      <c r="J12" s="2">
        <v>4</v>
      </c>
      <c r="K12" s="2">
        <v>24</v>
      </c>
      <c r="L12" s="2">
        <v>9</v>
      </c>
      <c r="M12" s="2" t="s">
        <v>24</v>
      </c>
      <c r="N12" s="2" t="s">
        <v>25</v>
      </c>
      <c r="O12" s="2">
        <v>24.8</v>
      </c>
      <c r="P12" s="2" t="s">
        <v>32</v>
      </c>
      <c r="Q12" s="2" t="s">
        <v>26</v>
      </c>
      <c r="R12" s="2" t="s">
        <v>27</v>
      </c>
      <c r="S12" s="3">
        <f t="shared" si="0"/>
        <v>0.34763948497854075</v>
      </c>
      <c r="T12" s="3">
        <f t="shared" si="1"/>
        <v>0.375</v>
      </c>
    </row>
    <row r="13" spans="1:20" x14ac:dyDescent="0.2">
      <c r="A13" s="2" t="s">
        <v>57</v>
      </c>
      <c r="B13" s="2" t="s">
        <v>58</v>
      </c>
      <c r="C13" s="2" t="s">
        <v>98</v>
      </c>
      <c r="D13" s="2" t="s">
        <v>22</v>
      </c>
      <c r="E13" s="2" t="s">
        <v>35</v>
      </c>
      <c r="F13" s="2">
        <v>311</v>
      </c>
      <c r="G13" s="2">
        <v>65</v>
      </c>
      <c r="H13" s="2">
        <v>44.9</v>
      </c>
      <c r="I13" s="2">
        <v>14</v>
      </c>
      <c r="J13" s="2">
        <v>1</v>
      </c>
      <c r="K13" s="2">
        <v>14</v>
      </c>
      <c r="L13" s="2">
        <v>1</v>
      </c>
      <c r="M13" s="2" t="s">
        <v>24</v>
      </c>
      <c r="N13" s="2" t="s">
        <v>25</v>
      </c>
      <c r="O13" s="2">
        <v>2.2000000000000002</v>
      </c>
      <c r="P13" s="2" t="s">
        <v>36</v>
      </c>
      <c r="Q13" s="2" t="s">
        <v>26</v>
      </c>
      <c r="R13" s="2" t="s">
        <v>26</v>
      </c>
      <c r="S13" s="3">
        <f t="shared" si="0"/>
        <v>0.2153846153846154</v>
      </c>
      <c r="T13" s="3">
        <f t="shared" si="1"/>
        <v>7.1428571428571425E-2</v>
      </c>
    </row>
    <row r="14" spans="1:20" x14ac:dyDescent="0.2">
      <c r="A14" s="2" t="s">
        <v>59</v>
      </c>
      <c r="B14" s="2" t="s">
        <v>60</v>
      </c>
      <c r="C14" s="2" t="s">
        <v>95</v>
      </c>
      <c r="D14" s="2" t="s">
        <v>39</v>
      </c>
      <c r="E14" s="2" t="s">
        <v>35</v>
      </c>
      <c r="F14" s="2">
        <v>443</v>
      </c>
      <c r="G14" s="2">
        <v>119</v>
      </c>
      <c r="H14" s="2">
        <v>44.5</v>
      </c>
      <c r="I14" s="2">
        <v>40</v>
      </c>
      <c r="J14" s="2">
        <v>5</v>
      </c>
      <c r="K14" s="2">
        <v>20</v>
      </c>
      <c r="L14" s="2">
        <v>5</v>
      </c>
      <c r="M14" s="2" t="s">
        <v>24</v>
      </c>
      <c r="N14" s="2" t="s">
        <v>25</v>
      </c>
      <c r="O14" s="2">
        <v>20.8</v>
      </c>
      <c r="P14" s="2" t="s">
        <v>26</v>
      </c>
      <c r="Q14" s="2" t="s">
        <v>36</v>
      </c>
      <c r="R14" s="2" t="s">
        <v>54</v>
      </c>
      <c r="S14" s="3">
        <f t="shared" si="0"/>
        <v>0.33613445378151263</v>
      </c>
      <c r="T14" s="3">
        <f t="shared" si="1"/>
        <v>0.25</v>
      </c>
    </row>
    <row r="15" spans="1:20" x14ac:dyDescent="0.2">
      <c r="A15" s="2" t="s">
        <v>61</v>
      </c>
      <c r="B15" s="2" t="s">
        <v>62</v>
      </c>
      <c r="C15" s="2" t="s">
        <v>96</v>
      </c>
      <c r="D15" s="2" t="s">
        <v>22</v>
      </c>
      <c r="E15" s="2" t="s">
        <v>35</v>
      </c>
      <c r="F15" s="2">
        <v>431</v>
      </c>
      <c r="G15" s="2">
        <v>77</v>
      </c>
      <c r="H15" s="2">
        <v>51.9</v>
      </c>
      <c r="I15" s="2">
        <v>77</v>
      </c>
      <c r="J15" s="2">
        <v>0</v>
      </c>
      <c r="K15" s="2">
        <v>19</v>
      </c>
      <c r="L15" s="2">
        <v>12</v>
      </c>
      <c r="M15" s="2" t="s">
        <v>30</v>
      </c>
      <c r="N15" s="2" t="s">
        <v>31</v>
      </c>
      <c r="O15" s="2">
        <v>28.4</v>
      </c>
      <c r="P15" s="2" t="s">
        <v>26</v>
      </c>
      <c r="Q15" s="2" t="s">
        <v>26</v>
      </c>
      <c r="R15" s="2" t="s">
        <v>27</v>
      </c>
      <c r="S15" s="3">
        <f t="shared" si="0"/>
        <v>1</v>
      </c>
      <c r="T15" s="3">
        <f t="shared" si="1"/>
        <v>0.63157894736842102</v>
      </c>
    </row>
    <row r="16" spans="1:20" x14ac:dyDescent="0.2">
      <c r="A16" s="2" t="s">
        <v>63</v>
      </c>
      <c r="B16" s="2" t="s">
        <v>64</v>
      </c>
      <c r="C16" s="2" t="s">
        <v>99</v>
      </c>
      <c r="D16" s="2" t="s">
        <v>22</v>
      </c>
      <c r="E16" s="2" t="s">
        <v>35</v>
      </c>
      <c r="F16" s="2">
        <v>486</v>
      </c>
      <c r="G16" s="2">
        <v>140</v>
      </c>
      <c r="H16" s="2">
        <v>45</v>
      </c>
      <c r="I16" s="2">
        <v>126</v>
      </c>
      <c r="J16" s="2">
        <v>0</v>
      </c>
      <c r="K16" s="2">
        <v>22</v>
      </c>
      <c r="L16" s="2">
        <v>9</v>
      </c>
      <c r="M16" s="2" t="s">
        <v>30</v>
      </c>
      <c r="N16" s="2" t="s">
        <v>47</v>
      </c>
      <c r="O16" s="2">
        <v>34</v>
      </c>
      <c r="P16" s="2" t="s">
        <v>32</v>
      </c>
      <c r="Q16" s="2" t="s">
        <v>32</v>
      </c>
      <c r="R16" s="2" t="s">
        <v>26</v>
      </c>
      <c r="S16" s="3">
        <f t="shared" si="0"/>
        <v>0.9</v>
      </c>
      <c r="T16" s="3">
        <f t="shared" si="1"/>
        <v>0.40909090909090912</v>
      </c>
    </row>
    <row r="17" spans="1:20" x14ac:dyDescent="0.2">
      <c r="A17" s="2" t="s">
        <v>65</v>
      </c>
      <c r="B17" s="2" t="s">
        <v>66</v>
      </c>
      <c r="C17" s="2" t="s">
        <v>99</v>
      </c>
      <c r="D17" s="2" t="s">
        <v>22</v>
      </c>
      <c r="E17" s="2" t="s">
        <v>23</v>
      </c>
      <c r="F17" s="2">
        <v>280</v>
      </c>
      <c r="G17" s="2">
        <v>106</v>
      </c>
      <c r="H17" s="2">
        <v>26.6</v>
      </c>
      <c r="I17" s="2">
        <v>39</v>
      </c>
      <c r="J17" s="2">
        <v>2</v>
      </c>
      <c r="K17" s="2">
        <v>12</v>
      </c>
      <c r="L17" s="2">
        <v>3</v>
      </c>
      <c r="M17" s="2" t="s">
        <v>30</v>
      </c>
      <c r="N17" s="2" t="s">
        <v>44</v>
      </c>
      <c r="O17" s="2">
        <v>7.1</v>
      </c>
      <c r="P17" s="2" t="s">
        <v>36</v>
      </c>
      <c r="Q17" s="2" t="s">
        <v>32</v>
      </c>
      <c r="R17" s="2" t="s">
        <v>27</v>
      </c>
      <c r="S17" s="3">
        <f t="shared" si="0"/>
        <v>0.36792452830188677</v>
      </c>
      <c r="T17" s="3">
        <f t="shared" si="1"/>
        <v>0.25</v>
      </c>
    </row>
    <row r="18" spans="1:20" x14ac:dyDescent="0.2">
      <c r="A18" s="2" t="s">
        <v>67</v>
      </c>
      <c r="B18" s="2" t="s">
        <v>68</v>
      </c>
      <c r="C18" s="2" t="s">
        <v>94</v>
      </c>
      <c r="D18" s="2" t="s">
        <v>22</v>
      </c>
      <c r="E18" s="2" t="s">
        <v>23</v>
      </c>
      <c r="F18" s="2">
        <v>279</v>
      </c>
      <c r="G18" s="2">
        <v>133</v>
      </c>
      <c r="H18" s="2">
        <v>22</v>
      </c>
      <c r="I18" s="2">
        <v>84</v>
      </c>
      <c r="J18" s="2">
        <v>1</v>
      </c>
      <c r="K18" s="2">
        <v>12</v>
      </c>
      <c r="L18" s="2">
        <v>6</v>
      </c>
      <c r="M18" s="2" t="s">
        <v>30</v>
      </c>
      <c r="N18" s="2" t="s">
        <v>47</v>
      </c>
      <c r="O18" s="2">
        <v>30.1</v>
      </c>
      <c r="P18" s="2" t="s">
        <v>26</v>
      </c>
      <c r="Q18" s="2" t="s">
        <v>26</v>
      </c>
      <c r="R18" s="2" t="s">
        <v>54</v>
      </c>
      <c r="S18" s="3">
        <f t="shared" si="0"/>
        <v>0.63157894736842102</v>
      </c>
      <c r="T18" s="3">
        <f t="shared" si="1"/>
        <v>0.5</v>
      </c>
    </row>
    <row r="19" spans="1:20" x14ac:dyDescent="0.2">
      <c r="A19" s="2" t="s">
        <v>69</v>
      </c>
      <c r="B19" s="2" t="s">
        <v>70</v>
      </c>
      <c r="C19" s="2" t="s">
        <v>98</v>
      </c>
      <c r="D19" s="2" t="s">
        <v>39</v>
      </c>
      <c r="E19" s="2" t="s">
        <v>35</v>
      </c>
      <c r="F19" s="2">
        <v>476</v>
      </c>
      <c r="G19" s="2">
        <v>57</v>
      </c>
      <c r="H19" s="2">
        <v>58.8</v>
      </c>
      <c r="I19" s="2">
        <v>57</v>
      </c>
      <c r="J19" s="2">
        <v>4</v>
      </c>
      <c r="K19" s="2">
        <v>21</v>
      </c>
      <c r="L19" s="2">
        <v>9</v>
      </c>
      <c r="M19" s="2" t="s">
        <v>30</v>
      </c>
      <c r="N19" s="2" t="s">
        <v>31</v>
      </c>
      <c r="O19" s="2">
        <v>8.6999999999999993</v>
      </c>
      <c r="P19" s="2" t="s">
        <v>36</v>
      </c>
      <c r="Q19" s="2" t="s">
        <v>26</v>
      </c>
      <c r="R19" s="2" t="s">
        <v>27</v>
      </c>
      <c r="S19" s="3">
        <f t="shared" si="0"/>
        <v>1</v>
      </c>
      <c r="T19" s="3">
        <f t="shared" si="1"/>
        <v>0.42857142857142855</v>
      </c>
    </row>
    <row r="20" spans="1:20" x14ac:dyDescent="0.2">
      <c r="A20" s="2" t="s">
        <v>71</v>
      </c>
      <c r="B20" s="2" t="s">
        <v>72</v>
      </c>
      <c r="C20" s="2" t="s">
        <v>95</v>
      </c>
      <c r="D20" s="2" t="s">
        <v>22</v>
      </c>
      <c r="E20" s="2" t="s">
        <v>23</v>
      </c>
      <c r="F20" s="2">
        <v>411</v>
      </c>
      <c r="G20" s="2">
        <v>69</v>
      </c>
      <c r="H20" s="2">
        <v>57.2</v>
      </c>
      <c r="I20" s="2">
        <v>0</v>
      </c>
      <c r="J20" s="2">
        <v>4</v>
      </c>
      <c r="K20" s="2">
        <v>18</v>
      </c>
      <c r="L20" s="2">
        <v>0</v>
      </c>
      <c r="M20" s="2" t="s">
        <v>24</v>
      </c>
      <c r="N20" s="2" t="s">
        <v>25</v>
      </c>
      <c r="O20" s="2">
        <v>34.9</v>
      </c>
      <c r="P20" s="2" t="s">
        <v>26</v>
      </c>
      <c r="Q20" s="2" t="s">
        <v>26</v>
      </c>
      <c r="R20" s="2" t="s">
        <v>26</v>
      </c>
      <c r="S20" s="3">
        <f t="shared" si="0"/>
        <v>0</v>
      </c>
      <c r="T20" s="3">
        <f t="shared" si="1"/>
        <v>0</v>
      </c>
    </row>
    <row r="21" spans="1:20" x14ac:dyDescent="0.2">
      <c r="A21" s="2" t="s">
        <v>73</v>
      </c>
      <c r="B21" s="2" t="s">
        <v>74</v>
      </c>
      <c r="C21" s="2" t="s">
        <v>96</v>
      </c>
      <c r="D21" s="2" t="s">
        <v>39</v>
      </c>
      <c r="E21" s="2" t="s">
        <v>23</v>
      </c>
      <c r="F21" s="2">
        <v>369</v>
      </c>
      <c r="G21" s="2">
        <v>140</v>
      </c>
      <c r="H21" s="2">
        <v>31.4</v>
      </c>
      <c r="I21" s="2">
        <v>50</v>
      </c>
      <c r="J21" s="2">
        <v>4</v>
      </c>
      <c r="K21" s="2">
        <v>16</v>
      </c>
      <c r="L21" s="2">
        <v>5</v>
      </c>
      <c r="M21" s="2" t="s">
        <v>24</v>
      </c>
      <c r="N21" s="2" t="s">
        <v>25</v>
      </c>
      <c r="O21" s="2">
        <v>28.6</v>
      </c>
      <c r="P21" s="2" t="s">
        <v>32</v>
      </c>
      <c r="Q21" s="2" t="s">
        <v>36</v>
      </c>
      <c r="R21" s="2" t="s">
        <v>27</v>
      </c>
      <c r="S21" s="3">
        <f t="shared" si="0"/>
        <v>0.35714285714285715</v>
      </c>
      <c r="T21" s="3">
        <f t="shared" si="1"/>
        <v>0.3125</v>
      </c>
    </row>
    <row r="22" spans="1:20" x14ac:dyDescent="0.2">
      <c r="A22" s="2" t="s">
        <v>75</v>
      </c>
      <c r="B22" s="2" t="s">
        <v>76</v>
      </c>
      <c r="C22" s="2" t="s">
        <v>96</v>
      </c>
      <c r="D22" s="2" t="s">
        <v>39</v>
      </c>
      <c r="E22" s="2" t="s">
        <v>23</v>
      </c>
      <c r="F22" s="2">
        <v>315</v>
      </c>
      <c r="G22" s="2">
        <v>129</v>
      </c>
      <c r="H22" s="2">
        <v>24.6</v>
      </c>
      <c r="I22" s="2">
        <v>40</v>
      </c>
      <c r="J22" s="2">
        <v>2</v>
      </c>
      <c r="K22" s="2">
        <v>14</v>
      </c>
      <c r="L22" s="2">
        <v>4</v>
      </c>
      <c r="M22" s="2" t="s">
        <v>24</v>
      </c>
      <c r="N22" s="2" t="s">
        <v>25</v>
      </c>
      <c r="O22" s="2">
        <v>25.7</v>
      </c>
      <c r="P22" s="2" t="s">
        <v>36</v>
      </c>
      <c r="Q22" s="2" t="s">
        <v>36</v>
      </c>
      <c r="R22" s="2" t="s">
        <v>26</v>
      </c>
      <c r="S22" s="3">
        <f t="shared" si="0"/>
        <v>0.31007751937984496</v>
      </c>
      <c r="T22" s="3">
        <f t="shared" si="1"/>
        <v>0.2857142857142857</v>
      </c>
    </row>
    <row r="23" spans="1:20" x14ac:dyDescent="0.2">
      <c r="A23" s="2" t="s">
        <v>77</v>
      </c>
      <c r="B23" s="2" t="s">
        <v>78</v>
      </c>
      <c r="C23" s="2" t="s">
        <v>96</v>
      </c>
      <c r="D23" s="2" t="s">
        <v>39</v>
      </c>
      <c r="E23" s="2" t="s">
        <v>23</v>
      </c>
      <c r="F23" s="2">
        <v>504</v>
      </c>
      <c r="G23" s="2">
        <v>156</v>
      </c>
      <c r="H23" s="2">
        <v>36.9</v>
      </c>
      <c r="I23" s="2">
        <v>8</v>
      </c>
      <c r="J23" s="2">
        <v>5</v>
      </c>
      <c r="K23" s="2">
        <v>22</v>
      </c>
      <c r="L23" s="2">
        <v>1</v>
      </c>
      <c r="M23" s="2" t="s">
        <v>24</v>
      </c>
      <c r="N23" s="2" t="s">
        <v>25</v>
      </c>
      <c r="O23" s="2">
        <v>7.3</v>
      </c>
      <c r="P23" s="2" t="s">
        <v>36</v>
      </c>
      <c r="Q23" s="2" t="s">
        <v>36</v>
      </c>
      <c r="R23" s="2" t="s">
        <v>27</v>
      </c>
      <c r="S23" s="3">
        <f t="shared" si="0"/>
        <v>5.128205128205128E-2</v>
      </c>
      <c r="T23" s="3">
        <f t="shared" si="1"/>
        <v>4.5454545454545456E-2</v>
      </c>
    </row>
    <row r="24" spans="1:20" x14ac:dyDescent="0.2">
      <c r="A24" s="2" t="s">
        <v>79</v>
      </c>
      <c r="B24" s="2" t="s">
        <v>80</v>
      </c>
      <c r="C24" s="2" t="s">
        <v>94</v>
      </c>
      <c r="D24" s="2" t="s">
        <v>39</v>
      </c>
      <c r="E24" s="2" t="s">
        <v>35</v>
      </c>
      <c r="F24" s="2">
        <v>459</v>
      </c>
      <c r="G24" s="2">
        <v>146</v>
      </c>
      <c r="H24" s="2">
        <v>36.4</v>
      </c>
      <c r="I24" s="2">
        <v>120</v>
      </c>
      <c r="J24" s="2">
        <v>1</v>
      </c>
      <c r="K24" s="2">
        <v>20</v>
      </c>
      <c r="L24" s="2">
        <v>10</v>
      </c>
      <c r="M24" s="2" t="s">
        <v>30</v>
      </c>
      <c r="N24" s="2" t="s">
        <v>31</v>
      </c>
      <c r="O24" s="2">
        <v>31.7</v>
      </c>
      <c r="P24" s="2" t="s">
        <v>36</v>
      </c>
      <c r="Q24" s="2" t="s">
        <v>32</v>
      </c>
      <c r="R24" s="2" t="s">
        <v>54</v>
      </c>
      <c r="S24" s="3">
        <f t="shared" si="0"/>
        <v>0.82191780821917804</v>
      </c>
      <c r="T24" s="3">
        <f t="shared" si="1"/>
        <v>0.5</v>
      </c>
    </row>
    <row r="25" spans="1:20" x14ac:dyDescent="0.2">
      <c r="A25" s="2" t="s">
        <v>81</v>
      </c>
      <c r="B25" s="2" t="s">
        <v>82</v>
      </c>
      <c r="C25" s="2" t="s">
        <v>99</v>
      </c>
      <c r="D25" s="2" t="s">
        <v>39</v>
      </c>
      <c r="E25" s="2" t="s">
        <v>35</v>
      </c>
      <c r="F25" s="2">
        <v>361</v>
      </c>
      <c r="G25" s="2">
        <v>36</v>
      </c>
      <c r="H25" s="2">
        <v>66.2</v>
      </c>
      <c r="I25" s="2">
        <v>36</v>
      </c>
      <c r="J25" s="2">
        <v>5</v>
      </c>
      <c r="K25" s="2">
        <v>16</v>
      </c>
      <c r="L25" s="2">
        <v>6</v>
      </c>
      <c r="M25" s="2" t="s">
        <v>30</v>
      </c>
      <c r="N25" s="2" t="s">
        <v>83</v>
      </c>
      <c r="O25" s="2">
        <v>30.5</v>
      </c>
      <c r="P25" s="2" t="s">
        <v>32</v>
      </c>
      <c r="Q25" s="2" t="s">
        <v>32</v>
      </c>
      <c r="R25" s="2" t="s">
        <v>54</v>
      </c>
      <c r="S25" s="3">
        <f t="shared" si="0"/>
        <v>1</v>
      </c>
      <c r="T25" s="3">
        <f t="shared" si="1"/>
        <v>0.375</v>
      </c>
    </row>
    <row r="26" spans="1:20" x14ac:dyDescent="0.2">
      <c r="A26" s="2" t="s">
        <v>84</v>
      </c>
      <c r="B26" s="2" t="s">
        <v>85</v>
      </c>
      <c r="C26" s="2" t="s">
        <v>94</v>
      </c>
      <c r="D26" s="2" t="s">
        <v>22</v>
      </c>
      <c r="E26" s="2" t="s">
        <v>35</v>
      </c>
      <c r="F26" s="2">
        <v>650</v>
      </c>
      <c r="G26" s="2">
        <v>65</v>
      </c>
      <c r="H26" s="2">
        <v>72.2</v>
      </c>
      <c r="I26" s="2">
        <v>65</v>
      </c>
      <c r="J26" s="2">
        <v>2</v>
      </c>
      <c r="K26" s="2">
        <v>29</v>
      </c>
      <c r="L26" s="2">
        <v>22</v>
      </c>
      <c r="M26" s="2" t="s">
        <v>30</v>
      </c>
      <c r="N26" s="2" t="s">
        <v>47</v>
      </c>
      <c r="O26" s="2">
        <v>14.6</v>
      </c>
      <c r="P26" s="2" t="s">
        <v>26</v>
      </c>
      <c r="Q26" s="2" t="s">
        <v>26</v>
      </c>
      <c r="R26" s="2" t="s">
        <v>26</v>
      </c>
      <c r="S26" s="3">
        <f t="shared" si="0"/>
        <v>1</v>
      </c>
      <c r="T26" s="3">
        <f t="shared" si="1"/>
        <v>0.75862068965517238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zoomScaleNormal="100" workbookViewId="0">
      <selection activeCell="A9" sqref="A9"/>
    </sheetView>
  </sheetViews>
  <sheetFormatPr baseColWidth="10" defaultColWidth="8.6640625" defaultRowHeight="15" x14ac:dyDescent="0.2"/>
  <cols>
    <col min="1" max="1" width="110" customWidth="1"/>
  </cols>
  <sheetData>
    <row r="1" spans="1:1" ht="16" x14ac:dyDescent="0.2">
      <c r="A1" s="4" t="s">
        <v>92</v>
      </c>
    </row>
    <row r="2" spans="1:1" x14ac:dyDescent="0.2">
      <c r="A2" s="5"/>
    </row>
    <row r="3" spans="1:1" x14ac:dyDescent="0.2">
      <c r="A3" s="5" t="s">
        <v>86</v>
      </c>
    </row>
    <row r="4" spans="1:1" x14ac:dyDescent="0.2">
      <c r="A4" s="5" t="s">
        <v>87</v>
      </c>
    </row>
    <row r="5" spans="1:1" x14ac:dyDescent="0.2">
      <c r="A5" s="5"/>
    </row>
    <row r="6" spans="1:1" x14ac:dyDescent="0.2">
      <c r="A6" s="5" t="s">
        <v>88</v>
      </c>
    </row>
    <row r="7" spans="1:1" x14ac:dyDescent="0.2">
      <c r="A7" s="5" t="s">
        <v>89</v>
      </c>
    </row>
    <row r="8" spans="1:1" x14ac:dyDescent="0.2">
      <c r="A8" s="5"/>
    </row>
    <row r="9" spans="1:1" x14ac:dyDescent="0.2">
      <c r="A9" s="5" t="s">
        <v>90</v>
      </c>
    </row>
    <row r="10" spans="1:1" x14ac:dyDescent="0.2">
      <c r="A10" s="5" t="s"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Donnees_ecoles</vt:lpstr>
      <vt:lpstr>Lisez-moi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ayoub ait atman</cp:lastModifiedBy>
  <cp:revision>0</cp:revision>
  <dcterms:created xsi:type="dcterms:W3CDTF">2026-07-01T11:09:21Z</dcterms:created>
  <dcterms:modified xsi:type="dcterms:W3CDTF">2026-07-01T11:27:14Z</dcterms:modified>
  <dc:language>en-US</dc:language>
</cp:coreProperties>
</file>